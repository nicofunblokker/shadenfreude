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tzer\Documents\Custom Office Templates\"/>
    </mc:Choice>
  </mc:AlternateContent>
  <xr:revisionPtr revIDLastSave="0" documentId="13_ncr:1_{0BA6195C-459C-4DEC-8C7D-B9CEC6A64649}" xr6:coauthVersionLast="47" xr6:coauthVersionMax="47" xr10:uidLastSave="{00000000-0000-0000-0000-000000000000}"/>
  <bookViews>
    <workbookView xWindow="-120" yWindow="-120" windowWidth="29040" windowHeight="15840" activeTab="2" xr2:uid="{045706E4-769E-4AAA-AECA-3C6882FC616A}"/>
  </bookViews>
  <sheets>
    <sheet name="1_Halbjahr" sheetId="1" r:id="rId1"/>
    <sheet name="2_Halbjahr" sheetId="3" r:id="rId2"/>
    <sheet name="Gesamtnote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A3" i="4"/>
  <c r="A4" i="4"/>
  <c r="A5" i="4"/>
  <c r="A6" i="4"/>
  <c r="B6" i="4"/>
  <c r="B3" i="4"/>
  <c r="B4" i="4"/>
  <c r="B5" i="4"/>
  <c r="B2" i="4"/>
  <c r="E2" i="3" a="1"/>
  <c r="F2" i="3" a="1"/>
  <c r="F2" i="3" l="1"/>
  <c r="E2" i="3"/>
  <c r="A2" i="4"/>
  <c r="F2" i="1" a="1"/>
  <c r="E2" i="1" a="1"/>
  <c r="F2" i="1" l="1"/>
  <c r="E2" i="1"/>
  <c r="J1" i="3"/>
  <c r="I1" i="3"/>
  <c r="E5" i="3" a="1"/>
  <c r="F3" i="3" a="1"/>
  <c r="E5" i="1" a="1"/>
  <c r="E3" i="3" a="1"/>
  <c r="F5" i="1" a="1"/>
  <c r="E6" i="3" a="1"/>
  <c r="F4" i="3" a="1"/>
  <c r="E4" i="3" a="1"/>
  <c r="F6" i="3" a="1"/>
  <c r="F5" i="3" a="1"/>
  <c r="F5" i="3" l="1"/>
  <c r="F6" i="3"/>
  <c r="D2" i="3"/>
  <c r="C2" i="3" s="1"/>
  <c r="E4" i="3"/>
  <c r="D4" i="3" s="1"/>
  <c r="C4" i="3" s="1"/>
  <c r="F4" i="3"/>
  <c r="E6" i="3"/>
  <c r="E3" i="3"/>
  <c r="D3" i="3" s="1"/>
  <c r="C3" i="3" s="1"/>
  <c r="E5" i="1"/>
  <c r="F3" i="3"/>
  <c r="E5" i="3"/>
  <c r="D5" i="3" s="1"/>
  <c r="C5" i="3" s="1"/>
  <c r="D5" i="1"/>
  <c r="C5" i="1" s="1"/>
  <c r="F5" i="1"/>
  <c r="F6" i="1" a="1"/>
  <c r="E6" i="1" a="1"/>
  <c r="D6" i="3" l="1"/>
  <c r="C6" i="3" s="1"/>
  <c r="E6" i="1"/>
  <c r="M8" i="3"/>
  <c r="M3" i="3"/>
  <c r="M7" i="3"/>
  <c r="M5" i="3"/>
  <c r="M6" i="3"/>
  <c r="M4" i="3"/>
  <c r="D6" i="1"/>
  <c r="C6" i="1" s="1"/>
  <c r="F6" i="1"/>
  <c r="I1" i="1" l="1"/>
  <c r="J1" i="1" l="1"/>
  <c r="E4" i="1" a="1"/>
  <c r="E3" i="1" a="1"/>
  <c r="F4" i="1" a="1"/>
  <c r="F3" i="1" a="1"/>
  <c r="F4" i="1" l="1"/>
  <c r="F3" i="1"/>
  <c r="E4" i="1"/>
  <c r="E3" i="1"/>
  <c r="D3" i="1" s="1"/>
  <c r="C3" i="1" s="1"/>
  <c r="D2" i="1"/>
  <c r="C2" i="1" s="1"/>
  <c r="C2" i="4" s="1"/>
  <c r="D4" i="1" l="1"/>
  <c r="C4" i="1" s="1"/>
  <c r="M3" i="1" s="1"/>
  <c r="M7" i="1" l="1"/>
  <c r="M6" i="1"/>
  <c r="M8" i="1"/>
  <c r="M5" i="1"/>
  <c r="M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Nutzer</author>
  </authors>
  <commentList>
    <comment ref="H1" authorId="0" shapeId="0" xr:uid="{B985F260-F62E-4175-B34C-8CCDD1DBF49A}">
      <text>
        <r>
          <rPr>
            <b/>
            <sz val="9"/>
            <color indexed="81"/>
            <rFont val="Tahoma"/>
            <charset val="1"/>
          </rPr>
          <t>3. Gebe das Startdatum ein (DD/MM/YYY). 
Füge das Wiederholungsmuster hinzu (z.B. Startdatum + 3 für zwei Unterrichtstage die Woche mit drei Tagen Verschiebung: 
In Zelle I2 gib ein H2+3). In Zelle J2 gib ein H2+7
Dann ziehe J2 nach rechts bis der gewünschte Zeitraum (Halbjahr) abgedeckt ist.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J1" authorId="0" shapeId="0" xr:uid="{F463BE40-952F-48FA-973C-405A757AD4B3}">
      <text>
        <r>
          <rPr>
            <b/>
            <sz val="9"/>
            <color indexed="81"/>
            <rFont val="Tahoma"/>
            <charset val="1"/>
          </rPr>
          <t>4. Farbcodiere die Spalten: Grün steht für mündlich, rot für schriftlich und Grau für entfällt.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2" authorId="0" shapeId="0" xr:uid="{DC83F892-71E9-4080-ABF4-08AD7F1A03BA}">
      <text>
        <r>
          <rPr>
            <b/>
            <sz val="9"/>
            <color indexed="81"/>
            <rFont val="Tahoma"/>
            <family val="2"/>
          </rPr>
          <t>1. Markiere die 5 unteren Reihen und ziehe sie runter bis die Anzahl der Reihen der Anzahl der SuS entspricht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" authorId="0" shapeId="0" xr:uid="{A9338504-BE5B-4A82-9BB7-02C918C9113C}">
      <text>
        <r>
          <rPr>
            <b/>
            <sz val="9"/>
            <color indexed="81"/>
            <rFont val="Tahoma"/>
            <charset val="1"/>
          </rPr>
          <t>2. Schneide den Notenspiegel aus und kopiere ihn unter die Tabelle (links).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17" authorId="0" shapeId="0" xr:uid="{1E6D3DC3-B157-4CB1-98C0-521BCCFDEDD5}">
      <text>
        <r>
          <rPr>
            <b/>
            <sz val="9"/>
            <color indexed="81"/>
            <rFont val="Tahoma"/>
            <charset val="1"/>
          </rPr>
          <t>5. Klicke auf Review -&gt; Protect Sheet um zu verhindern, dass du die Formeln versehentlich löschst oder editierst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Nutzer</author>
  </authors>
  <commentList>
    <comment ref="H1" authorId="0" shapeId="0" xr:uid="{C91B920B-D9A5-48C1-8DCE-DC8EE6819224}">
      <text>
        <r>
          <rPr>
            <b/>
            <sz val="9"/>
            <color indexed="81"/>
            <rFont val="Tahoma"/>
            <charset val="1"/>
          </rPr>
          <t>3. Gebe das Startdatum ein (DD/MM/YYY). 
Füge das Wiederholungsmuster hinzu (z.B. Startdatum + 3 für zwei Unterrichtstage die Woche mit drei Tagen Verschiebung: 
In Zelle I2 gib ein H2+3). In Zelle J2 gib ein H2+7
Dann ziehe J2 nach rechts bis der gewünschte Zeitraum (Halbjahr) abgedeckt ist.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J1" authorId="0" shapeId="0" xr:uid="{65C223AD-D482-4703-90CF-8C4138BA1B10}">
      <text>
        <r>
          <rPr>
            <b/>
            <sz val="9"/>
            <color indexed="81"/>
            <rFont val="Tahoma"/>
            <charset val="1"/>
          </rPr>
          <t>4. Farbcodiere die Spalten: Grün steht für mündlich, rot für schriftlich und Grau für entfällt.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2" authorId="0" shapeId="0" xr:uid="{E6015B3F-A1CB-47E5-A201-0590B64F79C5}">
      <text>
        <r>
          <rPr>
            <b/>
            <sz val="9"/>
            <color indexed="81"/>
            <rFont val="Tahoma"/>
            <family val="2"/>
          </rPr>
          <t>1. Markiere die 5 unteren Reihen und ziehe sie runter bis die Anzahl der Reihen der Anzahl der SuS entspricht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" authorId="0" shapeId="0" xr:uid="{FD0944E0-D204-44F4-8CD4-91F63EC86F29}">
      <text>
        <r>
          <rPr>
            <b/>
            <sz val="9"/>
            <color indexed="81"/>
            <rFont val="Tahoma"/>
            <charset val="1"/>
          </rPr>
          <t>2. Schneide den Notenspiegel aus und kopiere ihn unter die Tabelle (links).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17" authorId="0" shapeId="0" xr:uid="{C1B101F8-075C-4B35-BB82-0F3844BF5FB0}">
      <text>
        <r>
          <rPr>
            <b/>
            <sz val="9"/>
            <color indexed="81"/>
            <rFont val="Tahoma"/>
            <charset val="1"/>
          </rPr>
          <t>5. Klicke auf Review -&gt; Protect Sheet um zu verhindern, dass du die Formeln versehentlich löschst oder editierst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Nutzer</author>
  </authors>
  <commentList>
    <comment ref="A2" authorId="0" shapeId="0" xr:uid="{B22797FD-A098-442D-BD2B-92A443360B8B}">
      <text>
        <r>
          <rPr>
            <b/>
            <sz val="9"/>
            <color indexed="81"/>
            <rFont val="Tahoma"/>
            <charset val="1"/>
          </rPr>
          <t>1. Markiere die 5 unteren Reihen und ziehe sie runter bis die Anzahl der Reihen der Anzahl der SuS entspricht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<sst xmlns="http://schemas.openxmlformats.org/spreadsheetml/2006/main" count="17" uniqueCount="8">
  <si>
    <t>ID</t>
  </si>
  <si>
    <t>Name, Vorname</t>
  </si>
  <si>
    <t>Gesamtnote (gerundet)</t>
  </si>
  <si>
    <t>Gesamtnote</t>
  </si>
  <si>
    <t>mündl. Note</t>
  </si>
  <si>
    <t>schriftl. Note</t>
  </si>
  <si>
    <t>Notenspiegel</t>
  </si>
  <si>
    <t>Gesamtjahresnote (gerundet aus gerundeten HJ-Noten)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</si>
</sst>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Protection="1">
      <protection locked="0"/>
    </xf>
    <xf numFmtId="0" fontId="2" fillId="3" borderId="1" xfId="2" applyBorder="1" applyProtection="1">
      <protection locked="0"/>
    </xf>
    <xf numFmtId="0" fontId="3" fillId="4" borderId="0" xfId="3" applyProtection="1"/>
    <xf numFmtId="0" fontId="1" fillId="2" borderId="2" xfId="1" applyBorder="1" applyProtection="1"/>
    <xf numFmtId="0" fontId="2" fillId="3" borderId="1" xfId="2" applyBorder="1" applyProtection="1"/>
    <xf numFmtId="14" fontId="1" fillId="2" borderId="0" xfId="1" applyNumberFormat="1" applyProtection="1">
      <protection locked="0"/>
    </xf>
    <xf numFmtId="14" fontId="2" fillId="3" borderId="0" xfId="2" applyNumberFormat="1" applyProtection="1">
      <protection locked="0"/>
    </xf>
    <xf numFmtId="0" fontId="1" fillId="2" borderId="1" xfId="1" applyBorder="1" applyProtection="1">
      <protection locked="0"/>
    </xf>
    <xf numFmtId="0" fontId="1" fillId="2" borderId="0" xfId="1" applyProtection="1"/>
    <xf numFmtId="0" fontId="0" fillId="5" borderId="0" xfId="0" applyFill="1" applyProtection="1">
      <protection locked="0"/>
    </xf>
    <xf numFmtId="14" fontId="1" fillId="6" borderId="0" xfId="1" applyNumberFormat="1" applyFill="1" applyProtection="1">
      <protection locked="0"/>
    </xf>
    <xf numFmtId="0" fontId="1" fillId="6" borderId="1" xfId="1" applyFill="1" applyBorder="1" applyProtection="1">
      <protection locked="0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F218-0C82-4D9B-BEE5-0C2C22067103}">
  <sheetPr codeName="Sheet1"/>
  <dimension ref="A1:M17"/>
  <sheetViews>
    <sheetView workbookViewId="0">
      <selection activeCell="I2" sqref="I2"/>
    </sheetView>
  </sheetViews>
  <sheetFormatPr defaultRowHeight="15" x14ac:dyDescent="0.25"/>
  <cols>
    <col min="1" max="1" width="4" customWidth="1"/>
    <col min="2" max="2" width="23.28515625" customWidth="1"/>
    <col min="3" max="3" width="21.42578125" customWidth="1"/>
    <col min="4" max="4" width="15.28515625" customWidth="1"/>
    <col min="5" max="5" width="13.42578125" customWidth="1"/>
    <col min="6" max="6" width="13.28515625" customWidth="1"/>
    <col min="7" max="7" width="4.28515625" customWidth="1"/>
    <col min="8" max="10" width="10.7109375" bestFit="1" customWidth="1"/>
  </cols>
  <sheetData>
    <row r="1" spans="1:13" x14ac:dyDescent="0.25">
      <c r="A1" t="s">
        <v>0</v>
      </c>
      <c r="B1" t="s">
        <v>1</v>
      </c>
      <c r="C1" s="3" t="s">
        <v>2</v>
      </c>
      <c r="D1" t="s">
        <v>3</v>
      </c>
      <c r="E1" s="9" t="s">
        <v>4</v>
      </c>
      <c r="F1" s="5" t="s">
        <v>5</v>
      </c>
      <c r="G1" s="10"/>
      <c r="H1" s="6">
        <v>45086</v>
      </c>
      <c r="I1" s="7">
        <f>H1+2</f>
        <v>45088</v>
      </c>
      <c r="J1" s="11">
        <f>H1+7</f>
        <v>45093</v>
      </c>
    </row>
    <row r="2" spans="1:13" x14ac:dyDescent="0.25">
      <c r="A2">
        <v>1</v>
      </c>
      <c r="B2" s="1"/>
      <c r="C2" s="3" t="e">
        <f>ROUND(D2-0.00000001, 0)</f>
        <v>#DIV/0!</v>
      </c>
      <c r="D2" t="e">
        <f>AVERAGEIF(E2:F2,"&lt;&gt;0",E2:F2)</f>
        <v>#DIV/0!</v>
      </c>
      <c r="E2" s="4" cm="1">
        <f t="array" ref="E2">AverageByColor(H2:J2,E2)</f>
        <v>0</v>
      </c>
      <c r="F2" s="5" cm="1">
        <f t="array" ref="F2">AverageByColor(H2:J2,F2)</f>
        <v>0</v>
      </c>
      <c r="G2" s="10"/>
      <c r="H2" s="8"/>
      <c r="I2" s="2"/>
      <c r="J2" s="12"/>
      <c r="L2" s="3" t="s">
        <v>6</v>
      </c>
      <c r="M2" s="3"/>
    </row>
    <row r="3" spans="1:13" x14ac:dyDescent="0.25">
      <c r="A3">
        <v>2</v>
      </c>
      <c r="B3" s="1"/>
      <c r="C3" s="3" t="e">
        <f t="shared" ref="C3:C5" si="0">ROUNDDOWN(D3, 0)</f>
        <v>#DIV/0!</v>
      </c>
      <c r="D3" t="e">
        <f t="shared" ref="D3:D5" si="1">AVERAGEIF(E3:F3,"&lt;&gt;0",E3:F3)</f>
        <v>#DIV/0!</v>
      </c>
      <c r="E3" s="4" cm="1">
        <f t="array" ref="E3">AverageByColor(H3:J3,E3)</f>
        <v>0</v>
      </c>
      <c r="F3" s="5" cm="1">
        <f t="array" ref="F3">AverageByColor(H3:J3,F3)</f>
        <v>0</v>
      </c>
      <c r="G3" s="10"/>
      <c r="H3" s="8"/>
      <c r="I3" s="2"/>
      <c r="J3" s="12"/>
      <c r="L3" s="3">
        <v>1</v>
      </c>
      <c r="M3" s="3">
        <f>COUNTIF(C2:C4,1)</f>
        <v>0</v>
      </c>
    </row>
    <row r="4" spans="1:13" x14ac:dyDescent="0.25">
      <c r="A4">
        <v>3</v>
      </c>
      <c r="B4" s="1"/>
      <c r="C4" s="3" t="e">
        <f t="shared" si="0"/>
        <v>#DIV/0!</v>
      </c>
      <c r="D4" t="e">
        <f t="shared" si="1"/>
        <v>#DIV/0!</v>
      </c>
      <c r="E4" s="4" cm="1">
        <f t="array" ref="E4">AverageByColor(H4:J4,E4)</f>
        <v>0</v>
      </c>
      <c r="F4" s="5" cm="1">
        <f t="array" ref="F4">AverageByColor(H4:J4,F4)</f>
        <v>0</v>
      </c>
      <c r="G4" s="10"/>
      <c r="H4" s="8"/>
      <c r="I4" s="2"/>
      <c r="J4" s="12"/>
      <c r="L4" s="3">
        <v>2</v>
      </c>
      <c r="M4" s="3">
        <f>COUNTIF(C2:C4,2)</f>
        <v>0</v>
      </c>
    </row>
    <row r="5" spans="1:13" x14ac:dyDescent="0.25">
      <c r="A5">
        <v>4</v>
      </c>
      <c r="B5" s="1"/>
      <c r="C5" s="3" t="e">
        <f t="shared" si="0"/>
        <v>#DIV/0!</v>
      </c>
      <c r="D5" t="e">
        <f t="shared" si="1"/>
        <v>#DIV/0!</v>
      </c>
      <c r="E5" s="4" cm="1">
        <f t="array" ref="E5">AverageByColor(H5:J5,E5)</f>
        <v>0</v>
      </c>
      <c r="F5" s="5" cm="1">
        <f t="array" ref="F5">AverageByColor(H5:J5,F5)</f>
        <v>0</v>
      </c>
      <c r="G5" s="10"/>
      <c r="H5" s="8"/>
      <c r="I5" s="2"/>
      <c r="J5" s="12"/>
      <c r="L5" s="3">
        <v>3</v>
      </c>
      <c r="M5" s="3">
        <f>COUNTIF(C2:C4,3)</f>
        <v>0</v>
      </c>
    </row>
    <row r="6" spans="1:13" x14ac:dyDescent="0.25">
      <c r="A6">
        <v>5</v>
      </c>
      <c r="B6" s="1"/>
      <c r="C6" s="3" t="e">
        <f t="shared" ref="C6" si="2">ROUNDDOWN(D6, 0)</f>
        <v>#DIV/0!</v>
      </c>
      <c r="D6" t="e">
        <f t="shared" ref="D6" si="3">AVERAGEIF(E6:F6,"&lt;&gt;0",E6:F6)</f>
        <v>#DIV/0!</v>
      </c>
      <c r="E6" s="4" cm="1">
        <f t="array" ref="E6">AverageByColor(H6:J6,E6)</f>
        <v>0</v>
      </c>
      <c r="F6" s="5" cm="1">
        <f t="array" ref="F6">AverageByColor(H6:J6,F6)</f>
        <v>0</v>
      </c>
      <c r="G6" s="10"/>
      <c r="H6" s="8"/>
      <c r="I6" s="2"/>
      <c r="J6" s="12"/>
      <c r="L6" s="3">
        <v>4</v>
      </c>
      <c r="M6" s="3">
        <f>COUNTIF(C2:C4,4)</f>
        <v>0</v>
      </c>
    </row>
    <row r="7" spans="1:13" x14ac:dyDescent="0.25">
      <c r="L7" s="3">
        <v>5</v>
      </c>
      <c r="M7" s="3">
        <f>COUNTIF(C2:C4,5)</f>
        <v>0</v>
      </c>
    </row>
    <row r="8" spans="1:13" x14ac:dyDescent="0.25">
      <c r="L8" s="3">
        <v>6</v>
      </c>
      <c r="M8" s="3">
        <f>COUNTIF(C2:C4,6)</f>
        <v>0</v>
      </c>
    </row>
    <row r="17" spans="12:12" x14ac:dyDescent="0.25"/>
  </sheetData>
  <dataValidations xWindow="156" yWindow="534" count="1">
    <dataValidation type="whole" allowBlank="1" showInputMessage="1" showErrorMessage="1" sqref="H2:J6" xr:uid="{34936069-9687-4FAE-8240-EA84053C8627}">
      <formula1>1</formula1>
      <formula2>6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06341-AB34-42E3-9392-DCE2DDFDFD32}">
  <sheetPr codeName="Sheet2"/>
  <dimension ref="A1:M17"/>
  <sheetViews>
    <sheetView workbookViewId="0">
      <selection activeCell="B2" sqref="B2"/>
    </sheetView>
  </sheetViews>
  <sheetFormatPr defaultRowHeight="15" x14ac:dyDescent="0.25"/>
  <cols>
    <col min="1" max="1" width="4" customWidth="1"/>
    <col min="2" max="2" width="23.28515625" customWidth="1"/>
    <col min="3" max="3" width="21.42578125" customWidth="1"/>
    <col min="4" max="4" width="15.28515625" customWidth="1"/>
    <col min="5" max="5" width="13.42578125" customWidth="1"/>
    <col min="6" max="6" width="13.28515625" customWidth="1"/>
    <col min="7" max="7" width="4.28515625" customWidth="1"/>
    <col min="8" max="10" width="10.7109375" bestFit="1" customWidth="1"/>
  </cols>
  <sheetData>
    <row r="1" spans="1:13" x14ac:dyDescent="0.25">
      <c r="A1" t="s">
        <v>0</v>
      </c>
      <c r="B1" t="s">
        <v>1</v>
      </c>
      <c r="C1" s="3" t="s">
        <v>2</v>
      </c>
      <c r="D1" t="s">
        <v>3</v>
      </c>
      <c r="E1" s="9" t="s">
        <v>4</v>
      </c>
      <c r="F1" s="5" t="s">
        <v>5</v>
      </c>
      <c r="G1" s="10"/>
      <c r="H1" s="6">
        <v>45086</v>
      </c>
      <c r="I1" s="7">
        <f>H1+2</f>
        <v>45088</v>
      </c>
      <c r="J1" s="11">
        <f>H1+7</f>
        <v>45093</v>
      </c>
    </row>
    <row r="2" spans="1:13" x14ac:dyDescent="0.25">
      <c r="A2">
        <v>1</v>
      </c>
      <c r="B2" s="1"/>
      <c r="C2" s="3" t="e">
        <f>ROUND(D2-0.00000001, 0)</f>
        <v>#DIV/0!</v>
      </c>
      <c r="D2" t="e">
        <f>AVERAGEIF(E2:F2,"&lt;&gt;0",E2:F2)</f>
        <v>#DIV/0!</v>
      </c>
      <c r="E2" s="4" cm="1">
        <f t="array" ref="E2">AverageByColor(H2:J2,E2)</f>
        <v>0</v>
      </c>
      <c r="F2" s="5" cm="1">
        <f t="array" ref="F2">AverageByColor(H2:J2,F2)</f>
        <v>0</v>
      </c>
      <c r="G2" s="10"/>
      <c r="H2" s="8"/>
      <c r="I2" s="2"/>
      <c r="J2" s="12"/>
      <c r="L2" s="3" t="s">
        <v>6</v>
      </c>
      <c r="M2" s="3"/>
    </row>
    <row r="3" spans="1:13" x14ac:dyDescent="0.25">
      <c r="A3">
        <v>2</v>
      </c>
      <c r="B3" s="1"/>
      <c r="C3" s="3" t="e">
        <f t="shared" ref="C3:C6" si="0">ROUNDDOWN(D3, 0)</f>
        <v>#DIV/0!</v>
      </c>
      <c r="D3" t="e">
        <f t="shared" ref="D3:D6" si="1">AVERAGEIF(E3:F3,"&lt;&gt;0",E3:F3)</f>
        <v>#DIV/0!</v>
      </c>
      <c r="E3" s="4" cm="1">
        <f t="array" ref="E3">AverageByColor(H3:J3,E3)</f>
        <v>0</v>
      </c>
      <c r="F3" s="5" cm="1">
        <f t="array" ref="F3">AverageByColor(H3:J3,F3)</f>
        <v>0</v>
      </c>
      <c r="G3" s="10"/>
      <c r="H3" s="8"/>
      <c r="I3" s="2"/>
      <c r="J3" s="12"/>
      <c r="L3" s="3">
        <v>1</v>
      </c>
      <c r="M3" s="3">
        <f>COUNTIF(C2:C4,1)</f>
        <v>0</v>
      </c>
    </row>
    <row r="4" spans="1:13" x14ac:dyDescent="0.25">
      <c r="A4">
        <v>3</v>
      </c>
      <c r="B4" s="1"/>
      <c r="C4" s="3" t="e">
        <f t="shared" si="0"/>
        <v>#DIV/0!</v>
      </c>
      <c r="D4" t="e">
        <f t="shared" si="1"/>
        <v>#DIV/0!</v>
      </c>
      <c r="E4" s="4" cm="1">
        <f t="array" ref="E4">AverageByColor(H4:J4,E4)</f>
        <v>0</v>
      </c>
      <c r="F4" s="5" cm="1">
        <f t="array" ref="F4">AverageByColor(H4:J4,F4)</f>
        <v>0</v>
      </c>
      <c r="G4" s="10"/>
      <c r="H4" s="8"/>
      <c r="I4" s="2"/>
      <c r="J4" s="12"/>
      <c r="L4" s="3">
        <v>2</v>
      </c>
      <c r="M4" s="3">
        <f>COUNTIF(C2:C4,2)</f>
        <v>0</v>
      </c>
    </row>
    <row r="5" spans="1:13" x14ac:dyDescent="0.25">
      <c r="A5">
        <v>4</v>
      </c>
      <c r="B5" s="1"/>
      <c r="C5" s="3" t="e">
        <f t="shared" si="0"/>
        <v>#DIV/0!</v>
      </c>
      <c r="D5" t="e">
        <f t="shared" si="1"/>
        <v>#DIV/0!</v>
      </c>
      <c r="E5" s="4" cm="1">
        <f t="array" ref="E5">AverageByColor(H5:J5,E5)</f>
        <v>0</v>
      </c>
      <c r="F5" s="5" cm="1">
        <f t="array" ref="F5">AverageByColor(H5:J5,F5)</f>
        <v>0</v>
      </c>
      <c r="G5" s="10"/>
      <c r="H5" s="8"/>
      <c r="I5" s="2"/>
      <c r="J5" s="12"/>
      <c r="L5" s="3">
        <v>3</v>
      </c>
      <c r="M5" s="3">
        <f>COUNTIF(C2:C4,3)</f>
        <v>0</v>
      </c>
    </row>
    <row r="6" spans="1:13" x14ac:dyDescent="0.25">
      <c r="A6">
        <v>5</v>
      </c>
      <c r="B6" s="1"/>
      <c r="C6" s="3" t="e">
        <f t="shared" si="0"/>
        <v>#DIV/0!</v>
      </c>
      <c r="D6" t="e">
        <f t="shared" si="1"/>
        <v>#DIV/0!</v>
      </c>
      <c r="E6" s="4" cm="1">
        <f t="array" ref="E6">AverageByColor(H6:J6,E6)</f>
        <v>0</v>
      </c>
      <c r="F6" s="5" cm="1">
        <f t="array" ref="F6">AverageByColor(H6:J6,F6)</f>
        <v>0</v>
      </c>
      <c r="G6" s="10"/>
      <c r="H6" s="8"/>
      <c r="I6" s="2"/>
      <c r="J6" s="12"/>
      <c r="L6" s="3">
        <v>4</v>
      </c>
      <c r="M6" s="3">
        <f>COUNTIF(C2:C4,4)</f>
        <v>0</v>
      </c>
    </row>
    <row r="7" spans="1:13" x14ac:dyDescent="0.25">
      <c r="L7" s="3">
        <v>5</v>
      </c>
      <c r="M7" s="3">
        <f>COUNTIF(C2:C4,5)</f>
        <v>0</v>
      </c>
    </row>
    <row r="8" spans="1:13" x14ac:dyDescent="0.25">
      <c r="L8" s="3">
        <v>6</v>
      </c>
      <c r="M8" s="3">
        <f>COUNTIF(C2:C4,6)</f>
        <v>0</v>
      </c>
    </row>
    <row r="17" spans="12:12" x14ac:dyDescent="0.25"/>
  </sheetData>
  <dataValidations count="1">
    <dataValidation type="whole" allowBlank="1" showInputMessage="1" showErrorMessage="1" sqref="H2:J6" xr:uid="{6306174F-2B97-46B6-84D1-525DB14ACF09}">
      <formula1>1</formula1>
      <formula2>6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86775-2081-46E2-922E-8AC17415350D}">
  <sheetPr codeName="Sheet3"/>
  <dimension ref="A1:C185"/>
  <sheetViews>
    <sheetView tabSelected="1" workbookViewId="0">
      <selection activeCell="B2" sqref="B2"/>
    </sheetView>
  </sheetViews>
  <sheetFormatPr defaultRowHeight="15" x14ac:dyDescent="0.25"/>
  <cols>
    <col min="1" max="1" width="10.85546875" customWidth="1"/>
    <col min="2" max="2" width="23.28515625" customWidth="1"/>
    <col min="3" max="3" width="21.42578125" customWidth="1"/>
    <col min="4" max="4" width="15.28515625" customWidth="1"/>
    <col min="5" max="5" width="13.42578125" customWidth="1"/>
    <col min="6" max="6" width="13.28515625" customWidth="1"/>
    <col min="7" max="7" width="4.28515625" customWidth="1"/>
    <col min="8" max="10" width="10.7109375" bestFit="1" customWidth="1"/>
  </cols>
  <sheetData>
    <row r="1" spans="1:3" x14ac:dyDescent="0.25">
      <c r="A1" t="s">
        <v>0</v>
      </c>
      <c r="B1" t="s">
        <v>1</v>
      </c>
      <c r="C1" s="3" t="s">
        <v>7</v>
      </c>
    </row>
    <row r="2" spans="1:3" x14ac:dyDescent="0.25">
      <c r="A2">
        <f>IF('1_Halbjahr'!A2='2_Halbjahr'!A2,'1_Halbjahr'!A2,"ERROR")</f>
        <v>1</v>
      </c>
      <c r="B2" s="1">
        <f>IF('1_Halbjahr'!B2='2_Halbjahr'!B2,'1_Halbjahr'!B2,"ERROR")</f>
        <v>0</v>
      </c>
      <c r="C2" s="3" t="e">
        <f>ROUND(AVERAGE('1_Halbjahr'!C2, '2_Halbjahr'!C2)-0.00000001, 0)</f>
        <v>#DIV/0!</v>
      </c>
    </row>
    <row r="3" spans="1:3" x14ac:dyDescent="0.25">
      <c r="A3">
        <f>IF('1_Halbjahr'!A3='2_Halbjahr'!A3,'1_Halbjahr'!A3,"ERROR")</f>
        <v>2</v>
      </c>
      <c r="B3" s="1">
        <f>IF('1_Halbjahr'!B3='2_Halbjahr'!B3,'1_Halbjahr'!B3,"ERROR")</f>
        <v>0</v>
      </c>
      <c r="C3" s="3" t="e">
        <f>ROUND(AVERAGE('1_Halbjahr'!C3, '2_Halbjahr'!C3)-0.00000001, 0)</f>
        <v>#DIV/0!</v>
      </c>
    </row>
    <row r="4" spans="1:3" x14ac:dyDescent="0.25">
      <c r="A4">
        <f>IF('1_Halbjahr'!A4='2_Halbjahr'!A4,'1_Halbjahr'!A4,"ERROR")</f>
        <v>3</v>
      </c>
      <c r="B4" s="1">
        <f>IF('1_Halbjahr'!B4='2_Halbjahr'!B4,'1_Halbjahr'!B4,"ERROR")</f>
        <v>0</v>
      </c>
      <c r="C4" s="3" t="e">
        <f>ROUND(AVERAGE('1_Halbjahr'!C4, '2_Halbjahr'!C4)-0.00000001, 0)</f>
        <v>#DIV/0!</v>
      </c>
    </row>
    <row r="5" spans="1:3" x14ac:dyDescent="0.25">
      <c r="A5">
        <f>IF('1_Halbjahr'!A5='2_Halbjahr'!A5,'1_Halbjahr'!A5,"ERROR")</f>
        <v>4</v>
      </c>
      <c r="B5" s="1">
        <f>IF('1_Halbjahr'!B5='2_Halbjahr'!B5,'1_Halbjahr'!B5,"ERROR")</f>
        <v>0</v>
      </c>
      <c r="C5" s="3" t="e">
        <f>ROUND(AVERAGE('1_Halbjahr'!C5, '2_Halbjahr'!C5)-0.00000001, 0)</f>
        <v>#DIV/0!</v>
      </c>
    </row>
    <row r="6" spans="1:3" x14ac:dyDescent="0.25">
      <c r="A6">
        <f>IF('1_Halbjahr'!A6='2_Halbjahr'!A6,'1_Halbjahr'!A6,"ERROR")</f>
        <v>5</v>
      </c>
      <c r="B6" s="1">
        <f>IF('1_Halbjahr'!B6='2_Halbjahr'!B6,'1_Halbjahr'!B6,"ERROR")</f>
        <v>0</v>
      </c>
      <c r="C6" s="3" t="e">
        <f>ROUND(AVERAGE('1_Halbjahr'!C6, '2_Halbjahr'!C6)-0.00000001, 0)</f>
        <v>#DIV/0!</v>
      </c>
    </row>
    <row r="7" spans="1:3" x14ac:dyDescent="0.25">
      <c r="B7" s="1"/>
    </row>
    <row r="8" spans="1:3" x14ac:dyDescent="0.25">
      <c r="B8" s="1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  <row r="14" spans="1:3" x14ac:dyDescent="0.25">
      <c r="B14" s="1"/>
    </row>
    <row r="15" spans="1:3" x14ac:dyDescent="0.25">
      <c r="B15" s="1"/>
    </row>
    <row r="16" spans="1:3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1_Halbjahr</vt:lpstr>
      <vt:lpstr>2_Halbjahr</vt:lpstr>
      <vt:lpstr>Gesamtnote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Nutzer</dc:creator>
  <cp:lastModifiedBy>Nutzer</cp:lastModifiedBy>
  <dcterms:created xsi:type="dcterms:W3CDTF">2023-05-08T13:20:24Z</dcterms:created>
  <dcterms:modified xsi:type="dcterms:W3CDTF">2023-05-08T18:01:56Z</dcterms:modified>
</cp:coreProperties>
</file>